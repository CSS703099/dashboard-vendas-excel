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df74185acb1ee3/Desktop/Portifólio/"/>
    </mc:Choice>
  </mc:AlternateContent>
  <xr:revisionPtr revIDLastSave="3" documentId="8_{1BAF1C0B-0C1B-4283-A119-8FF01740F3D2}" xr6:coauthVersionLast="47" xr6:coauthVersionMax="47" xr10:uidLastSave="{00040ED9-0858-4CC2-8F95-065A82D030E3}"/>
  <bookViews>
    <workbookView xWindow="11424" yWindow="0" windowWidth="11712" windowHeight="12336" activeTab="3" xr2:uid="{31B23C76-9199-4CE8-A582-4B0F9ADDDD3B}"/>
  </bookViews>
  <sheets>
    <sheet name="Vendas" sheetId="1" r:id="rId1"/>
    <sheet name="Metas" sheetId="2" r:id="rId2"/>
    <sheet name="Análises" sheetId="3" r:id="rId3"/>
    <sheet name="Dashboard" sheetId="4" r:id="rId4"/>
    <sheet name="Sobre" sheetId="5" r:id="rId5"/>
  </sheets>
  <definedNames>
    <definedName name="_xlnm.Print_Area" localSheetId="3">Dashboard!$B$1:$M$49</definedName>
    <definedName name="ListaPeríodos">Análises!$M$1:$N$5</definedName>
    <definedName name="tbMetas">Tabela4[#All]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O2" i="3"/>
  <c r="K3" i="3"/>
  <c r="K4" i="3"/>
  <c r="K2" i="3"/>
  <c r="E2" i="2"/>
  <c r="J2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P2" i="3" l="1"/>
  <c r="B6" i="4" s="1"/>
  <c r="B9" i="4" l="1"/>
  <c r="F9" i="4" s="1"/>
  <c r="H4" i="3"/>
  <c r="H2" i="3"/>
  <c r="H3" i="3"/>
  <c r="H5" i="3"/>
  <c r="B4" i="3"/>
  <c r="B2" i="3"/>
  <c r="C3" i="3"/>
  <c r="C4" i="3"/>
  <c r="C2" i="3"/>
  <c r="B3" i="3"/>
  <c r="F6" i="4"/>
  <c r="J6" i="4" l="1"/>
  <c r="J9" i="4"/>
  <c r="E4" i="3"/>
  <c r="E3" i="3"/>
  <c r="D2" i="3"/>
  <c r="E2" i="3"/>
  <c r="D4" i="3"/>
  <c r="D3" i="3"/>
</calcChain>
</file>

<file path=xl/sharedStrings.xml><?xml version="1.0" encoding="utf-8"?>
<sst xmlns="http://schemas.openxmlformats.org/spreadsheetml/2006/main" count="131" uniqueCount="60">
  <si>
    <t>Data</t>
  </si>
  <si>
    <t>Pedido</t>
  </si>
  <si>
    <t>Vendedor</t>
  </si>
  <si>
    <t>Produto</t>
  </si>
  <si>
    <t>Categoria</t>
  </si>
  <si>
    <t>Quantidade</t>
  </si>
  <si>
    <t>Preco_Unitario</t>
  </si>
  <si>
    <t>Ana</t>
  </si>
  <si>
    <t>Mouse</t>
  </si>
  <si>
    <t>Periféricos</t>
  </si>
  <si>
    <t>Bruno</t>
  </si>
  <si>
    <t>Teclado</t>
  </si>
  <si>
    <t>Carla</t>
  </si>
  <si>
    <t>Monitor</t>
  </si>
  <si>
    <t>Monitores</t>
  </si>
  <si>
    <t>Headset</t>
  </si>
  <si>
    <t>Áudio</t>
  </si>
  <si>
    <t>Faturamento</t>
  </si>
  <si>
    <t>Total de conferência</t>
  </si>
  <si>
    <t>Mes</t>
  </si>
  <si>
    <t>Meta</t>
  </si>
  <si>
    <t>Total das metas</t>
  </si>
  <si>
    <t>Atingimento</t>
  </si>
  <si>
    <t>Diferenca</t>
  </si>
  <si>
    <t>DASHBOARD DE VENDAS</t>
  </si>
  <si>
    <t>Faturamento total</t>
  </si>
  <si>
    <t>Meta total</t>
  </si>
  <si>
    <t>Periodos</t>
  </si>
  <si>
    <t>Todos</t>
  </si>
  <si>
    <t>Janeiro</t>
  </si>
  <si>
    <t>Fevereiro</t>
  </si>
  <si>
    <t>Março</t>
  </si>
  <si>
    <t>Período</t>
  </si>
  <si>
    <t>Data inicial</t>
  </si>
  <si>
    <t>Data final exclusiva</t>
  </si>
  <si>
    <t>Quantidade de pedidos</t>
  </si>
  <si>
    <t>Ticket médio</t>
  </si>
  <si>
    <t>Falta para a meta</t>
  </si>
  <si>
    <t>Projeto</t>
  </si>
  <si>
    <t>Base de dados</t>
  </si>
  <si>
    <t>Objetivo</t>
  </si>
  <si>
    <t>Recursos utilizados</t>
  </si>
  <si>
    <t>Como usar</t>
  </si>
  <si>
    <t>Limitações</t>
  </si>
  <si>
    <t>Dashboard de Vendas — Excel</t>
  </si>
  <si>
    <t>Acompanhar faturamento, metas, produtos e desempenho por vendedor.</t>
  </si>
  <si>
    <t>Dados fictícios: 18 pedidos, 3 vendedores e 4 produtos, de janeiro a março de 2026.</t>
  </si>
  <si>
    <t>Tabelas estruturadas, SOMASES, CONT.SES, SE, SEERRO, validação de dados, formatação condicional e gráficos.</t>
  </si>
  <si>
    <t>Na aba Dashboard, escolha o período em G2. Os indicadores e gráficos de vendedores e produtos respondem à seleção. O gráfico mensal mantém os três meses para comparação.</t>
  </si>
  <si>
    <t>Base pequena para fins de aprendizagem. Cada pedido ocupa uma linha. O seletor contempla somente janeiro a março de 2026.</t>
  </si>
  <si>
    <t>Conclusões — janeiro a março de 2026</t>
  </si>
  <si>
    <t>A loja vendeu R$ 12.160,00 e atingiu 91,43% da meta. Faltaram R$ 1.140,00 para alcançar o objetivo.</t>
  </si>
  <si>
    <t>Vendedores</t>
  </si>
  <si>
    <t>Bruno foi o único vendedor que superou sua meta no total dos três meses.</t>
  </si>
  <si>
    <t>Produtos</t>
  </si>
  <si>
    <t>Monitores geraram R$ 6.300,00, representando 51,81% do faturamento da loja.</t>
  </si>
  <si>
    <t>Evolução</t>
  </si>
  <si>
    <t>Fevereiro foi o mês de maior faturamento. Em março, as vendas caíram 8,42% em relação a fevereiro.</t>
  </si>
  <si>
    <t>Próxima investigação</t>
  </si>
  <si>
    <t>Investigar por que as vendas caíram em março e por que alguns vendedores ficaram abaixo da meta. Os dados disponíveis não mostram as causas.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</si>
</sst>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6" formatCode="mm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0" applyNumberFormat="1"/>
    <xf numFmtId="166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 vertical="center"/>
    </xf>
    <xf numFmtId="0" fontId="0" fillId="2" borderId="4" xfId="0" applyFill="1" applyBorder="1" applyAlignment="1">
      <alignment horizontal="centerContinuous" vertical="center"/>
    </xf>
    <xf numFmtId="164" fontId="4" fillId="2" borderId="5" xfId="0" applyNumberFormat="1" applyFont="1" applyFill="1" applyBorder="1" applyAlignment="1">
      <alignment horizontal="centerContinuous" vertical="center"/>
    </xf>
    <xf numFmtId="0" fontId="0" fillId="2" borderId="6" xfId="0" applyFill="1" applyBorder="1" applyAlignment="1">
      <alignment horizontal="centerContinuous" vertical="center"/>
    </xf>
    <xf numFmtId="0" fontId="0" fillId="2" borderId="7" xfId="0" applyFill="1" applyBorder="1" applyAlignment="1">
      <alignment horizontal="centerContinuous" vertical="center"/>
    </xf>
    <xf numFmtId="0" fontId="4" fillId="2" borderId="5" xfId="0" applyFont="1" applyFill="1" applyBorder="1" applyAlignment="1">
      <alignment horizontal="centerContinuous" vertical="center"/>
    </xf>
    <xf numFmtId="10" fontId="4" fillId="2" borderId="5" xfId="1" applyNumberFormat="1" applyFont="1" applyFill="1" applyBorder="1" applyAlignment="1">
      <alignment horizontal="centerContinuous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7">
    <dxf>
      <font>
        <color rgb="FF9C0006"/>
      </font>
    </dxf>
    <dxf>
      <font>
        <color rgb="FF00B050"/>
      </font>
      <fill>
        <patternFill>
          <bgColor theme="0"/>
        </patternFill>
      </fill>
    </dxf>
    <dxf>
      <numFmt numFmtId="34" formatCode="_-&quot;R$&quot;\ * #,##0.00_-;\-&quot;R$&quot;\ * #,##0.00_-;_-&quot;R$&quot;\ * &quot;-&quot;??_-;_-@_-"/>
    </dxf>
    <dxf>
      <numFmt numFmtId="166" formatCode="m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X Meta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Análises!$B$1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Análises!$A$2:$A$4</c:f>
              <c:strCache>
                <c:ptCount val="3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</c:strCache>
            </c:strRef>
          </c:cat>
          <c:val>
            <c:numRef>
              <c:f>Análises!$B$2:$B$4</c:f>
              <c:numCache>
                <c:formatCode>"R$"\ #,##0.00</c:formatCode>
                <c:ptCount val="3"/>
                <c:pt idx="0">
                  <c:v>3890</c:v>
                </c:pt>
                <c:pt idx="1">
                  <c:v>4450</c:v>
                </c:pt>
                <c:pt idx="2">
                  <c:v>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4-4EF7-9F64-ADD0555E37DA}"/>
            </c:ext>
          </c:extLst>
        </c:ser>
        <c:ser>
          <c:idx val="1"/>
          <c:order val="1"/>
          <c:tx>
            <c:strRef>
              <c:f>Análises!$C$1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Análises!$A$2:$A$4</c:f>
              <c:strCache>
                <c:ptCount val="3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</c:strCache>
            </c:strRef>
          </c:cat>
          <c:val>
            <c:numRef>
              <c:f>Análises!$C$2:$C$4</c:f>
              <c:numCache>
                <c:formatCode>"R$"\ #,##0.00</c:formatCode>
                <c:ptCount val="3"/>
                <c:pt idx="0">
                  <c:v>4200</c:v>
                </c:pt>
                <c:pt idx="1">
                  <c:v>4400</c:v>
                </c:pt>
                <c:pt idx="2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4-4EF7-9F64-ADD0555E3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477264"/>
        <c:axId val="359482064"/>
      </c:barChart>
      <c:catAx>
        <c:axId val="3594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482064"/>
        <c:crosses val="autoZero"/>
        <c:auto val="1"/>
        <c:lblAlgn val="ctr"/>
        <c:lblOffset val="100"/>
        <c:noMultiLvlLbl val="0"/>
      </c:catAx>
      <c:valAx>
        <c:axId val="3594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47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Análises!$H$1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Análises!$G$2:$G$5</c:f>
              <c:strCache>
                <c:ptCount val="4"/>
                <c:pt idx="0">
                  <c:v>Monitor</c:v>
                </c:pt>
                <c:pt idx="1">
                  <c:v>Headset</c:v>
                </c:pt>
                <c:pt idx="2">
                  <c:v>Teclado</c:v>
                </c:pt>
                <c:pt idx="3">
                  <c:v>Mouse</c:v>
                </c:pt>
              </c:strCache>
            </c:strRef>
          </c:cat>
          <c:val>
            <c:numRef>
              <c:f>Análises!$H$2:$H$5</c:f>
              <c:numCache>
                <c:formatCode>"R$"\ #,##0.00</c:formatCode>
                <c:ptCount val="4"/>
                <c:pt idx="0">
                  <c:v>6300</c:v>
                </c:pt>
                <c:pt idx="1">
                  <c:v>2400</c:v>
                </c:pt>
                <c:pt idx="2">
                  <c:v>2100</c:v>
                </c:pt>
                <c:pt idx="3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4F01-BFA3-434E5C467A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4106848"/>
        <c:axId val="1284106368"/>
      </c:barChart>
      <c:catAx>
        <c:axId val="1284106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106368"/>
        <c:crosses val="autoZero"/>
        <c:auto val="1"/>
        <c:lblAlgn val="ctr"/>
        <c:lblOffset val="100"/>
        <c:noMultiLvlLbl val="0"/>
      </c:catAx>
      <c:valAx>
        <c:axId val="12841063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10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Mensal | Jan–Mar/2026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Análises!$K$1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Análises!$J$2:$J$4</c:f>
              <c:numCache>
                <c:formatCode>mmm/yyyy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Análises!$K$2:$K$4</c:f>
              <c:numCache>
                <c:formatCode>"R$"\ #,##0.00</c:formatCode>
                <c:ptCount val="3"/>
                <c:pt idx="0">
                  <c:v>3060</c:v>
                </c:pt>
                <c:pt idx="1">
                  <c:v>4750</c:v>
                </c:pt>
                <c:pt idx="2">
                  <c:v>4350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9-40E9-BC23-F2EC04E660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2517536"/>
        <c:axId val="1312514176"/>
      </c:lineChart>
      <c:dateAx>
        <c:axId val="1312517536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514176"/>
        <c:crosses val="autoZero"/>
        <c:auto val="1"/>
        <c:lblOffset val="100"/>
        <c:baseTimeUnit val="months"/>
      </c:dateAx>
      <c:valAx>
        <c:axId val="131251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51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599288</xdr:colOff>
      <xdr:row>11</xdr:row>
      <xdr:rowOff>10086</xdr:rowOff>
    </xdr:from>
    <xdr:to>
      <xdr:col>12</xdr:col>
      <xdr:colOff>602554</xdr:colOff>
      <xdr:row>30</xdr:row>
      <xdr:rowOff>10085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510E9C-D1DA-F06C-9FB3-5EA9985A5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589074</xdr:colOff>
      <xdr:row>32</xdr:row>
      <xdr:rowOff>20900</xdr:rowOff>
    </xdr:from>
    <xdr:to>
      <xdr:col>6</xdr:col>
      <xdr:colOff>686208</xdr:colOff>
      <xdr:row>48</xdr:row>
      <xdr:rowOff>17929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B9A0B8-4E3D-F194-F343-926E1C346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684327</xdr:colOff>
      <xdr:row>32</xdr:row>
      <xdr:rowOff>21737</xdr:rowOff>
    </xdr:from>
    <xdr:to>
      <xdr:col>12</xdr:col>
      <xdr:colOff>582705</xdr:colOff>
      <xdr:row>48</xdr:row>
      <xdr:rowOff>17928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DF23DF-2572-D7C8-D13A-50ACBA097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E01D7-9C39-4405-8A16-08821296D8D0}" name="tbVendas" displayName="tbVendas" ref="A1:H19" totalsRowShown="0">
  <autoFilter ref="A1:H19" xr:uid="{B6AE01D7-9C39-4405-8A16-08821296D8D0}"/>
  <tableColumns count="8">
    <tableColumn id="1" xr3:uid="{93242802-A7CF-47E5-9156-664E76F011B3}" name="Data" dataDxfId="6"/>
    <tableColumn id="2" xr3:uid="{43867983-0A33-448C-BE90-3FE0385AD5DC}" name="Pedido"/>
    <tableColumn id="3" xr3:uid="{BEE0A8F3-25CC-4F5D-B2AC-E10389668BA5}" name="Vendedor"/>
    <tableColumn id="4" xr3:uid="{AA00594F-6C94-4F17-BAB6-29C5AF67B5FA}" name="Produto"/>
    <tableColumn id="5" xr3:uid="{EBDFF3FF-911D-4CFE-A344-90BA380BC06B}" name="Categoria"/>
    <tableColumn id="6" xr3:uid="{1511EDA2-7772-4B4C-B9EE-44E0987CA07E}" name="Quantidade"/>
    <tableColumn id="7" xr3:uid="{7C16F456-6942-4061-866C-58A8821C7EEB}" name="Preco_Unitario" dataDxfId="5"/>
    <tableColumn id="8" xr3:uid="{634A2564-69A9-4E85-93C5-C6644EADDDEB}" name="Faturamento" dataDxfId="4">
      <calculatedColumnFormula>tbVendas[[#This Row],[Quantidade]]*tbVendas[[#This Row],[Preco_Unitario]]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B60463-6281-4C78-9746-B7F619DDA819}" name="Tabela4" displayName="Tabela4" ref="A1:C10" totalsRowShown="0">
  <autoFilter ref="A1:C10" xr:uid="{BCB60463-6281-4C78-9746-B7F619DDA819}"/>
  <tableColumns count="3">
    <tableColumn id="1" xr3:uid="{44458CC3-9242-4C12-B728-582C33A3888B}" name="Mes" dataDxfId="3"/>
    <tableColumn id="2" xr3:uid="{9AED7797-0748-4C3D-A644-841EC89C6B00}" name="Vendedor"/>
    <tableColumn id="3" xr3:uid="{166FD622-63ED-4D1F-9DDA-4343194263A8}" name="Me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F60F-ADA5-47DC-B1DF-9B35A71A8B5F}">
  <dimension ref="A1:J19"/>
  <sheetViews>
    <sheetView topLeftCell="C1" workbookViewId="0">
      <selection activeCell="J2" sqref="J2"/>
    </sheetView>
  </sheetViews>
  <sheetFormatPr defaultRowHeight="14.4" x14ac:dyDescent="0.3"/>
  <cols>
    <col min="1" max="1" width="10.5546875" bestFit="1" customWidth="1"/>
    <col min="3" max="3" width="11.21875" customWidth="1"/>
    <col min="4" max="4" width="9.77734375" customWidth="1"/>
    <col min="5" max="5" width="10.88671875" customWidth="1"/>
    <col min="6" max="6" width="12.77734375" customWidth="1"/>
    <col min="7" max="7" width="15.44140625" style="3" customWidth="1"/>
    <col min="8" max="8" width="11.88671875" style="3" bestFit="1" customWidth="1"/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17</v>
      </c>
      <c r="J1" t="s">
        <v>18</v>
      </c>
    </row>
    <row r="2" spans="1:10" x14ac:dyDescent="0.3">
      <c r="A2" s="1">
        <v>46027</v>
      </c>
      <c r="B2">
        <v>1001</v>
      </c>
      <c r="C2" t="s">
        <v>7</v>
      </c>
      <c r="D2" t="s">
        <v>8</v>
      </c>
      <c r="E2" t="s">
        <v>9</v>
      </c>
      <c r="F2">
        <v>3</v>
      </c>
      <c r="G2" s="3">
        <v>80</v>
      </c>
      <c r="H2" s="3">
        <f>tbVendas[[#This Row],[Quantidade]]*tbVendas[[#This Row],[Preco_Unitario]]</f>
        <v>240</v>
      </c>
      <c r="J2" s="3">
        <f>SUM(tbVendas[Faturamento])</f>
        <v>12160</v>
      </c>
    </row>
    <row r="3" spans="1:10" x14ac:dyDescent="0.3">
      <c r="A3" s="1">
        <v>46030</v>
      </c>
      <c r="B3">
        <v>1002</v>
      </c>
      <c r="C3" t="s">
        <v>10</v>
      </c>
      <c r="D3" t="s">
        <v>11</v>
      </c>
      <c r="E3" t="s">
        <v>9</v>
      </c>
      <c r="F3">
        <v>2</v>
      </c>
      <c r="G3" s="3">
        <v>150</v>
      </c>
      <c r="H3" s="3">
        <f>tbVendas[[#This Row],[Quantidade]]*tbVendas[[#This Row],[Preco_Unitario]]</f>
        <v>300</v>
      </c>
    </row>
    <row r="4" spans="1:10" x14ac:dyDescent="0.3">
      <c r="A4" s="1">
        <v>46034</v>
      </c>
      <c r="B4">
        <v>1003</v>
      </c>
      <c r="C4" t="s">
        <v>12</v>
      </c>
      <c r="D4" t="s">
        <v>13</v>
      </c>
      <c r="E4" t="s">
        <v>14</v>
      </c>
      <c r="F4">
        <v>1</v>
      </c>
      <c r="G4" s="3">
        <v>900</v>
      </c>
      <c r="H4" s="3">
        <f>tbVendas[[#This Row],[Quantidade]]*tbVendas[[#This Row],[Preco_Unitario]]</f>
        <v>900</v>
      </c>
    </row>
    <row r="5" spans="1:10" x14ac:dyDescent="0.3">
      <c r="A5" s="1">
        <v>46039</v>
      </c>
      <c r="B5">
        <v>1004</v>
      </c>
      <c r="C5" t="s">
        <v>7</v>
      </c>
      <c r="D5" t="s">
        <v>15</v>
      </c>
      <c r="E5" t="s">
        <v>16</v>
      </c>
      <c r="F5">
        <v>2</v>
      </c>
      <c r="G5" s="3">
        <v>200</v>
      </c>
      <c r="H5" s="3">
        <f>tbVendas[[#This Row],[Quantidade]]*tbVendas[[#This Row],[Preco_Unitario]]</f>
        <v>400</v>
      </c>
    </row>
    <row r="6" spans="1:10" x14ac:dyDescent="0.3">
      <c r="A6" s="1">
        <v>46044</v>
      </c>
      <c r="B6">
        <v>1005</v>
      </c>
      <c r="C6" t="s">
        <v>10</v>
      </c>
      <c r="D6" t="s">
        <v>13</v>
      </c>
      <c r="E6" t="s">
        <v>14</v>
      </c>
      <c r="F6">
        <v>1</v>
      </c>
      <c r="G6" s="3">
        <v>900</v>
      </c>
      <c r="H6" s="3">
        <f>tbVendas[[#This Row],[Quantidade]]*tbVendas[[#This Row],[Preco_Unitario]]</f>
        <v>900</v>
      </c>
    </row>
    <row r="7" spans="1:10" x14ac:dyDescent="0.3">
      <c r="A7" s="1">
        <v>46049</v>
      </c>
      <c r="B7">
        <v>1006</v>
      </c>
      <c r="C7" t="s">
        <v>12</v>
      </c>
      <c r="D7" t="s">
        <v>8</v>
      </c>
      <c r="E7" t="s">
        <v>9</v>
      </c>
      <c r="F7">
        <v>4</v>
      </c>
      <c r="G7" s="3">
        <v>80</v>
      </c>
      <c r="H7" s="3">
        <f>tbVendas[[#This Row],[Quantidade]]*tbVendas[[#This Row],[Preco_Unitario]]</f>
        <v>320</v>
      </c>
    </row>
    <row r="8" spans="1:10" x14ac:dyDescent="0.3">
      <c r="A8" s="1">
        <v>46056</v>
      </c>
      <c r="B8">
        <v>1007</v>
      </c>
      <c r="C8" t="s">
        <v>7</v>
      </c>
      <c r="D8" t="s">
        <v>13</v>
      </c>
      <c r="E8" t="s">
        <v>14</v>
      </c>
      <c r="F8">
        <v>2</v>
      </c>
      <c r="G8" s="3">
        <v>900</v>
      </c>
      <c r="H8" s="3">
        <f>tbVendas[[#This Row],[Quantidade]]*tbVendas[[#This Row],[Preco_Unitario]]</f>
        <v>1800</v>
      </c>
    </row>
    <row r="9" spans="1:10" x14ac:dyDescent="0.3">
      <c r="A9" s="1">
        <v>46060</v>
      </c>
      <c r="B9">
        <v>1008</v>
      </c>
      <c r="C9" t="s">
        <v>10</v>
      </c>
      <c r="D9" t="s">
        <v>15</v>
      </c>
      <c r="E9" t="s">
        <v>16</v>
      </c>
      <c r="F9">
        <v>3</v>
      </c>
      <c r="G9" s="3">
        <v>200</v>
      </c>
      <c r="H9" s="3">
        <f>tbVendas[[#This Row],[Quantidade]]*tbVendas[[#This Row],[Preco_Unitario]]</f>
        <v>600</v>
      </c>
    </row>
    <row r="10" spans="1:10" x14ac:dyDescent="0.3">
      <c r="A10" s="1">
        <v>46064</v>
      </c>
      <c r="B10">
        <v>1009</v>
      </c>
      <c r="C10" t="s">
        <v>12</v>
      </c>
      <c r="D10" t="s">
        <v>11</v>
      </c>
      <c r="E10" t="s">
        <v>9</v>
      </c>
      <c r="F10">
        <v>4</v>
      </c>
      <c r="G10" s="3">
        <v>150</v>
      </c>
      <c r="H10" s="3">
        <f>tbVendas[[#This Row],[Quantidade]]*tbVendas[[#This Row],[Preco_Unitario]]</f>
        <v>600</v>
      </c>
    </row>
    <row r="11" spans="1:10" x14ac:dyDescent="0.3">
      <c r="A11" s="1">
        <v>46069</v>
      </c>
      <c r="B11">
        <v>1010</v>
      </c>
      <c r="C11" t="s">
        <v>7</v>
      </c>
      <c r="D11" t="s">
        <v>8</v>
      </c>
      <c r="E11" t="s">
        <v>9</v>
      </c>
      <c r="F11">
        <v>5</v>
      </c>
      <c r="G11" s="3">
        <v>80</v>
      </c>
      <c r="H11" s="3">
        <f>tbVendas[[#This Row],[Quantidade]]*tbVendas[[#This Row],[Preco_Unitario]]</f>
        <v>400</v>
      </c>
    </row>
    <row r="12" spans="1:10" x14ac:dyDescent="0.3">
      <c r="A12" s="1">
        <v>46074</v>
      </c>
      <c r="B12">
        <v>1011</v>
      </c>
      <c r="C12" t="s">
        <v>10</v>
      </c>
      <c r="D12" t="s">
        <v>11</v>
      </c>
      <c r="E12" t="s">
        <v>9</v>
      </c>
      <c r="F12">
        <v>3</v>
      </c>
      <c r="G12" s="3">
        <v>150</v>
      </c>
      <c r="H12" s="3">
        <f>tbVendas[[#This Row],[Quantidade]]*tbVendas[[#This Row],[Preco_Unitario]]</f>
        <v>450</v>
      </c>
    </row>
    <row r="13" spans="1:10" x14ac:dyDescent="0.3">
      <c r="A13" s="1">
        <v>46079</v>
      </c>
      <c r="B13">
        <v>1012</v>
      </c>
      <c r="C13" t="s">
        <v>12</v>
      </c>
      <c r="D13" t="s">
        <v>13</v>
      </c>
      <c r="E13" t="s">
        <v>14</v>
      </c>
      <c r="F13">
        <v>1</v>
      </c>
      <c r="G13" s="3">
        <v>900</v>
      </c>
      <c r="H13" s="3">
        <f>tbVendas[[#This Row],[Quantidade]]*tbVendas[[#This Row],[Preco_Unitario]]</f>
        <v>900</v>
      </c>
    </row>
    <row r="14" spans="1:10" x14ac:dyDescent="0.3">
      <c r="A14" s="1">
        <v>46085</v>
      </c>
      <c r="B14">
        <v>1013</v>
      </c>
      <c r="C14" t="s">
        <v>7</v>
      </c>
      <c r="D14" t="s">
        <v>11</v>
      </c>
      <c r="E14" t="s">
        <v>9</v>
      </c>
      <c r="F14">
        <v>3</v>
      </c>
      <c r="G14" s="3">
        <v>150</v>
      </c>
      <c r="H14" s="3">
        <f>tbVendas[[#This Row],[Quantidade]]*tbVendas[[#This Row],[Preco_Unitario]]</f>
        <v>450</v>
      </c>
    </row>
    <row r="15" spans="1:10" x14ac:dyDescent="0.3">
      <c r="A15" s="1">
        <v>46090</v>
      </c>
      <c r="B15">
        <v>1014</v>
      </c>
      <c r="C15" t="s">
        <v>10</v>
      </c>
      <c r="D15" t="s">
        <v>13</v>
      </c>
      <c r="E15" t="s">
        <v>14</v>
      </c>
      <c r="F15">
        <v>2</v>
      </c>
      <c r="G15" s="3">
        <v>900</v>
      </c>
      <c r="H15" s="3">
        <f>tbVendas[[#This Row],[Quantidade]]*tbVendas[[#This Row],[Preco_Unitario]]</f>
        <v>1800</v>
      </c>
    </row>
    <row r="16" spans="1:10" x14ac:dyDescent="0.3">
      <c r="A16" s="1">
        <v>46094</v>
      </c>
      <c r="B16">
        <v>1015</v>
      </c>
      <c r="C16" t="s">
        <v>12</v>
      </c>
      <c r="D16" t="s">
        <v>15</v>
      </c>
      <c r="E16" t="s">
        <v>16</v>
      </c>
      <c r="F16">
        <v>4</v>
      </c>
      <c r="G16" s="3">
        <v>200</v>
      </c>
      <c r="H16" s="3">
        <f>tbVendas[[#This Row],[Quantidade]]*tbVendas[[#This Row],[Preco_Unitario]]</f>
        <v>800</v>
      </c>
    </row>
    <row r="17" spans="1:8" x14ac:dyDescent="0.3">
      <c r="A17" s="1">
        <v>46099</v>
      </c>
      <c r="B17">
        <v>1016</v>
      </c>
      <c r="C17" t="s">
        <v>7</v>
      </c>
      <c r="D17" t="s">
        <v>15</v>
      </c>
      <c r="E17" t="s">
        <v>16</v>
      </c>
      <c r="F17">
        <v>3</v>
      </c>
      <c r="G17" s="3">
        <v>200</v>
      </c>
      <c r="H17" s="3">
        <f>tbVendas[[#This Row],[Quantidade]]*tbVendas[[#This Row],[Preco_Unitario]]</f>
        <v>600</v>
      </c>
    </row>
    <row r="18" spans="1:8" x14ac:dyDescent="0.3">
      <c r="A18" s="1">
        <v>46104</v>
      </c>
      <c r="B18">
        <v>1017</v>
      </c>
      <c r="C18" t="s">
        <v>10</v>
      </c>
      <c r="D18" t="s">
        <v>8</v>
      </c>
      <c r="E18" t="s">
        <v>9</v>
      </c>
      <c r="F18">
        <v>5</v>
      </c>
      <c r="G18" s="3">
        <v>80</v>
      </c>
      <c r="H18" s="3">
        <f>tbVendas[[#This Row],[Quantidade]]*tbVendas[[#This Row],[Preco_Unitario]]</f>
        <v>400</v>
      </c>
    </row>
    <row r="19" spans="1:8" x14ac:dyDescent="0.3">
      <c r="A19" s="1">
        <v>46109</v>
      </c>
      <c r="B19">
        <v>1018</v>
      </c>
      <c r="C19" t="s">
        <v>12</v>
      </c>
      <c r="D19" t="s">
        <v>11</v>
      </c>
      <c r="E19" t="s">
        <v>9</v>
      </c>
      <c r="F19">
        <v>2</v>
      </c>
      <c r="G19" s="3">
        <v>150</v>
      </c>
      <c r="H19" s="3">
        <f>tbVendas[[#This Row],[Quantidade]]*tbVendas[[#This Row],[Preco_Unitario]]</f>
        <v>300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1635-8A3F-4658-B192-5001A5224D23}">
  <dimension ref="A1:E10"/>
  <sheetViews>
    <sheetView workbookViewId="0">
      <selection activeCell="E2" sqref="E2"/>
    </sheetView>
  </sheetViews>
  <sheetFormatPr defaultRowHeight="14.4" x14ac:dyDescent="0.3"/>
  <cols>
    <col min="1" max="1" width="8.88671875" style="4" customWidth="1"/>
    <col min="2" max="2" width="11.21875" customWidth="1"/>
    <col min="3" max="3" width="11.88671875" style="3" bestFit="1" customWidth="1"/>
    <col min="5" max="5" width="12.88671875" bestFit="1" customWidth="1"/>
  </cols>
  <sheetData>
    <row r="1" spans="1:5" x14ac:dyDescent="0.3">
      <c r="A1" s="4" t="s">
        <v>19</v>
      </c>
      <c r="B1" t="s">
        <v>2</v>
      </c>
      <c r="C1" s="3" t="s">
        <v>20</v>
      </c>
      <c r="E1" t="s">
        <v>21</v>
      </c>
    </row>
    <row r="2" spans="1:5" x14ac:dyDescent="0.3">
      <c r="A2" s="4">
        <v>46023</v>
      </c>
      <c r="B2" t="s">
        <v>7</v>
      </c>
      <c r="C2" s="3">
        <v>1000</v>
      </c>
      <c r="E2" s="3">
        <f>SUM(Tabela4[Meta])</f>
        <v>13300</v>
      </c>
    </row>
    <row r="3" spans="1:5" x14ac:dyDescent="0.3">
      <c r="A3" s="4">
        <v>46023</v>
      </c>
      <c r="B3" t="s">
        <v>10</v>
      </c>
      <c r="C3" s="3">
        <v>1200</v>
      </c>
    </row>
    <row r="4" spans="1:5" x14ac:dyDescent="0.3">
      <c r="A4" s="4">
        <v>46023</v>
      </c>
      <c r="B4" t="s">
        <v>12</v>
      </c>
      <c r="C4" s="3">
        <v>1500</v>
      </c>
    </row>
    <row r="5" spans="1:5" x14ac:dyDescent="0.3">
      <c r="A5" s="4">
        <v>46054</v>
      </c>
      <c r="B5" t="s">
        <v>7</v>
      </c>
      <c r="C5" s="3">
        <v>2000</v>
      </c>
    </row>
    <row r="6" spans="1:5" x14ac:dyDescent="0.3">
      <c r="A6" s="4">
        <v>46054</v>
      </c>
      <c r="B6" t="s">
        <v>10</v>
      </c>
      <c r="C6" s="3">
        <v>1200</v>
      </c>
    </row>
    <row r="7" spans="1:5" x14ac:dyDescent="0.3">
      <c r="A7" s="4">
        <v>46054</v>
      </c>
      <c r="B7" t="s">
        <v>12</v>
      </c>
      <c r="C7" s="3">
        <v>1600</v>
      </c>
    </row>
    <row r="8" spans="1:5" x14ac:dyDescent="0.3">
      <c r="A8" s="4">
        <v>46082</v>
      </c>
      <c r="B8" t="s">
        <v>7</v>
      </c>
      <c r="C8" s="3">
        <v>1200</v>
      </c>
    </row>
    <row r="9" spans="1:5" x14ac:dyDescent="0.3">
      <c r="A9" s="4">
        <v>46082</v>
      </c>
      <c r="B9" t="s">
        <v>10</v>
      </c>
      <c r="C9" s="3">
        <v>2000</v>
      </c>
    </row>
    <row r="10" spans="1:5" x14ac:dyDescent="0.3">
      <c r="A10" s="4">
        <v>46082</v>
      </c>
      <c r="B10" t="s">
        <v>12</v>
      </c>
      <c r="C10" s="3">
        <v>1600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6E6B-1A17-4F01-9042-1B4549BAC30F}">
  <dimension ref="A1:P5"/>
  <sheetViews>
    <sheetView zoomScaleNormal="100" workbookViewId="0">
      <selection activeCell="H2" sqref="H2:H5"/>
    </sheetView>
  </sheetViews>
  <sheetFormatPr defaultRowHeight="14.4" x14ac:dyDescent="0.3"/>
  <cols>
    <col min="1" max="1" width="9.33203125" bestFit="1" customWidth="1"/>
    <col min="2" max="2" width="12.21875" style="2" bestFit="1" customWidth="1"/>
    <col min="3" max="3" width="11.33203125" style="2" bestFit="1" customWidth="1"/>
    <col min="4" max="4" width="11.5546875" style="5" bestFit="1" customWidth="1"/>
    <col min="5" max="5" width="11.21875" style="2" bestFit="1" customWidth="1"/>
    <col min="7" max="7" width="8.21875" bestFit="1" customWidth="1"/>
    <col min="8" max="8" width="12.21875" bestFit="1" customWidth="1"/>
    <col min="10" max="10" width="11.5546875" bestFit="1" customWidth="1"/>
    <col min="11" max="11" width="12.21875" bestFit="1" customWidth="1"/>
    <col min="15" max="16" width="10.5546875" bestFit="1" customWidth="1"/>
  </cols>
  <sheetData>
    <row r="1" spans="1:16" s="6" customFormat="1" x14ac:dyDescent="0.3">
      <c r="A1" s="6" t="s">
        <v>2</v>
      </c>
      <c r="B1" s="7" t="s">
        <v>17</v>
      </c>
      <c r="C1" s="7" t="s">
        <v>20</v>
      </c>
      <c r="D1" s="8" t="s">
        <v>22</v>
      </c>
      <c r="E1" s="7" t="s">
        <v>23</v>
      </c>
      <c r="G1" s="6" t="s">
        <v>3</v>
      </c>
      <c r="H1" s="6" t="s">
        <v>17</v>
      </c>
      <c r="J1" s="6" t="s">
        <v>19</v>
      </c>
      <c r="K1" s="6" t="s">
        <v>17</v>
      </c>
      <c r="M1" s="6" t="s">
        <v>27</v>
      </c>
      <c r="O1" s="6" t="s">
        <v>33</v>
      </c>
      <c r="P1" s="6" t="s">
        <v>34</v>
      </c>
    </row>
    <row r="2" spans="1:16" x14ac:dyDescent="0.3">
      <c r="A2" t="s">
        <v>7</v>
      </c>
      <c r="B2" s="2">
        <f>SUMIFS(tbVendas[Faturamento],tbVendas[Vendedor],A2,tbVendas[Data],"&gt;="&amp;$O$2,tbVendas[Data],"&lt;"&amp;$P$2)</f>
        <v>3890</v>
      </c>
      <c r="C2" s="2">
        <f>SUMIFS(Tabela4[Meta],Tabela4[Vendedor],A2,Tabela4[Mes],"&gt;="&amp;$O$2,Tabela4[Mes],"&lt;"&amp;$P$2)</f>
        <v>4200</v>
      </c>
      <c r="D2" s="5">
        <f>IFERROR(B2/C2,0)</f>
        <v>0.92619047619047623</v>
      </c>
      <c r="E2" s="2">
        <f>B2-C2</f>
        <v>-310</v>
      </c>
      <c r="G2" t="s">
        <v>13</v>
      </c>
      <c r="H2" s="2">
        <f>SUMIFS(tbVendas[Faturamento],tbVendas[Produto],G2,tbVendas[Data],"&gt;="&amp;$O$2,tbVendas[Data],"&lt;"&amp;$P$2)</f>
        <v>6300</v>
      </c>
      <c r="J2" s="4">
        <v>46023</v>
      </c>
      <c r="K2" s="2">
        <f>SUMIFS(tbVendas[Faturamento],tbVendas[Data],"&gt;="&amp;J2,tbVendas[Data],"&lt;"&amp;DATE(YEAR(J2),MONTH(J2)+1,1))</f>
        <v>3060</v>
      </c>
      <c r="M2" t="s">
        <v>28</v>
      </c>
      <c r="O2" s="1">
        <f>IF(Dashboard!$G$2="Todos",DATE(2026,1,1),DATE(2026,MATCH(Dashboard!$G$2,$M$3:$M$5,0),1))</f>
        <v>46023</v>
      </c>
      <c r="P2" s="1">
        <f>IF(Dashboard!$G$2="Todos",DATE(2026,4,1),DATE(YEAR(O2),MONTH(O2)+1,1))</f>
        <v>46113</v>
      </c>
    </row>
    <row r="3" spans="1:16" x14ac:dyDescent="0.3">
      <c r="A3" t="s">
        <v>10</v>
      </c>
      <c r="B3" s="2">
        <f>SUMIFS(tbVendas[Faturamento],tbVendas[Vendedor],A3,tbVendas[Data],"&gt;="&amp;$O$2,tbVendas[Data],"&lt;"&amp;$P$2)</f>
        <v>4450</v>
      </c>
      <c r="C3" s="2">
        <f>SUMIFS(Tabela4[Meta],Tabela4[Vendedor],A3,Tabela4[Mes],"&gt;="&amp;$O$2,Tabela4[Mes],"&lt;"&amp;$P$2)</f>
        <v>4400</v>
      </c>
      <c r="D3" s="5">
        <f t="shared" ref="D3:D4" si="0">IFERROR(B3/C3,0)</f>
        <v>1.0113636363636365</v>
      </c>
      <c r="E3" s="2">
        <f t="shared" ref="E3:E4" si="1">B3-C3</f>
        <v>50</v>
      </c>
      <c r="G3" t="s">
        <v>15</v>
      </c>
      <c r="H3" s="2">
        <f>SUMIFS(tbVendas[Faturamento],tbVendas[Produto],G3,tbVendas[Data],"&gt;="&amp;$O$2,tbVendas[Data],"&lt;"&amp;$P$2)</f>
        <v>2400</v>
      </c>
      <c r="J3" s="4">
        <v>46054</v>
      </c>
      <c r="K3" s="2">
        <f>SUMIFS(tbVendas[Faturamento],tbVendas[Data],"&gt;="&amp;J3,tbVendas[Data],"&lt;"&amp;DATE(YEAR(J3),MONTH(J3)+1,1))</f>
        <v>4750</v>
      </c>
      <c r="M3" t="s">
        <v>29</v>
      </c>
    </row>
    <row r="4" spans="1:16" x14ac:dyDescent="0.3">
      <c r="A4" t="s">
        <v>12</v>
      </c>
      <c r="B4" s="2">
        <f>SUMIFS(tbVendas[Faturamento],tbVendas[Vendedor],A4,tbVendas[Data],"&gt;="&amp;$O$2,tbVendas[Data],"&lt;"&amp;$P$2)</f>
        <v>3820</v>
      </c>
      <c r="C4" s="2">
        <f>SUMIFS(Tabela4[Meta],Tabela4[Vendedor],A4,Tabela4[Mes],"&gt;="&amp;$O$2,Tabela4[Mes],"&lt;"&amp;$P$2)</f>
        <v>4700</v>
      </c>
      <c r="D4" s="5">
        <f t="shared" si="0"/>
        <v>0.81276595744680846</v>
      </c>
      <c r="E4" s="2">
        <f t="shared" si="1"/>
        <v>-880</v>
      </c>
      <c r="G4" t="s">
        <v>11</v>
      </c>
      <c r="H4" s="2">
        <f>SUMIFS(tbVendas[Faturamento],tbVendas[Produto],G4,tbVendas[Data],"&gt;="&amp;$O$2,tbVendas[Data],"&lt;"&amp;$P$2)</f>
        <v>2100</v>
      </c>
      <c r="J4" s="4">
        <v>46082</v>
      </c>
      <c r="K4" s="2">
        <f>SUMIFS(tbVendas[Faturamento],tbVendas[Data],"&gt;="&amp;J4,tbVendas[Data],"&lt;"&amp;DATE(YEAR(J4),MONTH(J4)+1,1))</f>
        <v>4350</v>
      </c>
      <c r="M4" t="s">
        <v>30</v>
      </c>
    </row>
    <row r="5" spans="1:16" x14ac:dyDescent="0.3">
      <c r="G5" t="s">
        <v>8</v>
      </c>
      <c r="H5" s="2">
        <f>SUMIFS(tbVendas[Faturamento],tbVendas[Produto],G5,tbVendas[Data],"&gt;="&amp;$O$2,tbVendas[Data],"&lt;"&amp;$P$2)</f>
        <v>1360</v>
      </c>
      <c r="M5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5070-D285-4AA4-A0DB-31728F27F7B6}">
  <sheetPr>
    <pageSetUpPr fitToPage="1"/>
  </sheetPr>
  <dimension ref="B1:P10"/>
  <sheetViews>
    <sheetView showGridLines="0" tabSelected="1" zoomScale="50" zoomScaleNormal="50" workbookViewId="0">
      <selection activeCell="H57" sqref="H57"/>
    </sheetView>
  </sheetViews>
  <sheetFormatPr defaultRowHeight="14.4" x14ac:dyDescent="0.3"/>
  <cols>
    <col min="2" max="2" width="40.5546875" bestFit="1" customWidth="1"/>
    <col min="6" max="6" width="21.109375" bestFit="1" customWidth="1"/>
    <col min="7" max="7" width="10.109375" bestFit="1" customWidth="1"/>
    <col min="10" max="10" width="17.77734375" bestFit="1" customWidth="1"/>
  </cols>
  <sheetData>
    <row r="1" spans="2:16" s="6" customFormat="1" x14ac:dyDescent="0.3"/>
    <row r="2" spans="2:16" s="6" customFormat="1" ht="25.8" x14ac:dyDescent="0.3">
      <c r="B2" s="9" t="s">
        <v>24</v>
      </c>
      <c r="F2" s="13" t="s">
        <v>32</v>
      </c>
      <c r="G2" s="12" t="s">
        <v>28</v>
      </c>
    </row>
    <row r="3" spans="2:16" s="6" customFormat="1" x14ac:dyDescent="0.3">
      <c r="B3" s="10" t="str">
        <f>IF(G2="Todos","Janeiro a março de 2026 | Dados fictícios",G2&amp;" de 2026 | Dados fictícios")</f>
        <v>Janeiro a março de 2026 | Dados fictícios</v>
      </c>
    </row>
    <row r="5" spans="2:16" s="6" customFormat="1" x14ac:dyDescent="0.3">
      <c r="B5" s="14" t="s">
        <v>25</v>
      </c>
      <c r="C5" s="15"/>
      <c r="D5" s="16"/>
      <c r="F5" s="14" t="s">
        <v>26</v>
      </c>
      <c r="G5" s="15"/>
      <c r="H5" s="16"/>
      <c r="J5" s="14" t="s">
        <v>22</v>
      </c>
      <c r="K5" s="15"/>
      <c r="L5" s="16"/>
    </row>
    <row r="6" spans="2:16" s="6" customFormat="1" ht="23.4" x14ac:dyDescent="0.3">
      <c r="B6" s="17">
        <f>SUMIFS(tbVendas[Faturamento],tbVendas[Data],"&gt;="&amp;Análises!$O$2,tbVendas[Data],"&lt;"&amp;Análises!$P$2)</f>
        <v>12160</v>
      </c>
      <c r="C6" s="18"/>
      <c r="D6" s="19"/>
      <c r="F6" s="17">
        <f>SUMIFS(Tabela4[Meta],Tabela4[Mes],"&gt;="&amp;Análises!$O$2,Tabela4[Mes],"&lt;"&amp;Análises!$P$2)</f>
        <v>13300</v>
      </c>
      <c r="G6" s="18"/>
      <c r="H6" s="19"/>
      <c r="J6" s="21">
        <f>IFERROR(B6/F6,0)</f>
        <v>0.91428571428571426</v>
      </c>
      <c r="K6" s="18"/>
      <c r="L6" s="19"/>
    </row>
    <row r="7" spans="2:16" s="6" customFormat="1" x14ac:dyDescent="0.3">
      <c r="P7" s="23"/>
    </row>
    <row r="8" spans="2:16" s="6" customFormat="1" x14ac:dyDescent="0.3">
      <c r="B8" s="14" t="s">
        <v>35</v>
      </c>
      <c r="C8" s="15"/>
      <c r="D8" s="16"/>
      <c r="F8" s="14" t="s">
        <v>36</v>
      </c>
      <c r="G8" s="15"/>
      <c r="H8" s="16"/>
      <c r="J8" s="14" t="s">
        <v>37</v>
      </c>
      <c r="K8" s="15"/>
      <c r="L8" s="16"/>
    </row>
    <row r="9" spans="2:16" s="6" customFormat="1" ht="23.4" x14ac:dyDescent="0.3">
      <c r="B9" s="20">
        <f>COUNTIFS(tbVendas[Data],"&gt;="&amp;Análises!$O$2,tbVendas[Data],"&lt;"&amp;Análises!$P$2)</f>
        <v>18</v>
      </c>
      <c r="C9" s="18"/>
      <c r="D9" s="19"/>
      <c r="F9" s="17">
        <f>IFERROR(B6/B9,0)</f>
        <v>675.55555555555554</v>
      </c>
      <c r="G9" s="18"/>
      <c r="H9" s="19"/>
      <c r="J9" s="17">
        <f>MAX(F6-B6,0)</f>
        <v>1140</v>
      </c>
      <c r="K9" s="18"/>
      <c r="L9" s="19"/>
    </row>
    <row r="10" spans="2:16" x14ac:dyDescent="0.3">
      <c r="C10" s="11"/>
    </row>
  </sheetData>
  <conditionalFormatting sqref="J6">
    <cfRule type="cellIs" dxfId="1" priority="1" operator="greaterThanOrEqual">
      <formula>1</formula>
    </cfRule>
    <cfRule type="cellIs" dxfId="0" priority="2" operator="lessThan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74B84A-EF28-41FC-A251-77C3B801F227}">
          <x14:formula1>
            <xm:f>Análises!$M$2:$M$5</xm:f>
          </x14:formula1>
          <xm:sqref>G2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EDA6-3BDA-46BE-B61D-939C997DCB9E}">
  <dimension ref="A1:B23"/>
  <sheetViews>
    <sheetView workbookViewId="0">
      <selection activeCell="B1" sqref="B1:B1048576"/>
    </sheetView>
  </sheetViews>
  <sheetFormatPr defaultRowHeight="14.4" x14ac:dyDescent="0.3"/>
  <cols>
    <col min="1" max="1" width="33.109375" bestFit="1" customWidth="1"/>
    <col min="2" max="2" width="150" style="22" bestFit="1" customWidth="1"/>
  </cols>
  <sheetData>
    <row r="1" spans="1:2" x14ac:dyDescent="0.3">
      <c r="A1" t="s">
        <v>38</v>
      </c>
      <c r="B1" s="22" t="s">
        <v>44</v>
      </c>
    </row>
    <row r="3" spans="1:2" x14ac:dyDescent="0.3">
      <c r="A3" t="s">
        <v>40</v>
      </c>
      <c r="B3" s="22" t="s">
        <v>45</v>
      </c>
    </row>
    <row r="5" spans="1:2" x14ac:dyDescent="0.3">
      <c r="A5" t="s">
        <v>39</v>
      </c>
      <c r="B5" s="22" t="s">
        <v>46</v>
      </c>
    </row>
    <row r="7" spans="1:2" x14ac:dyDescent="0.3">
      <c r="A7" t="s">
        <v>41</v>
      </c>
      <c r="B7" s="22" t="s">
        <v>47</v>
      </c>
    </row>
    <row r="9" spans="1:2" x14ac:dyDescent="0.3">
      <c r="A9" t="s">
        <v>42</v>
      </c>
      <c r="B9" s="22" t="s">
        <v>48</v>
      </c>
    </row>
    <row r="11" spans="1:2" x14ac:dyDescent="0.3">
      <c r="A11" t="s">
        <v>43</v>
      </c>
      <c r="B11" s="22" t="s">
        <v>49</v>
      </c>
    </row>
    <row r="13" spans="1:2" x14ac:dyDescent="0.3">
      <c r="A13" t="s">
        <v>50</v>
      </c>
    </row>
    <row r="15" spans="1:2" x14ac:dyDescent="0.3">
      <c r="A15" t="s">
        <v>20</v>
      </c>
      <c r="B15" s="22" t="s">
        <v>51</v>
      </c>
    </row>
    <row r="17" spans="1:2" x14ac:dyDescent="0.3">
      <c r="A17" t="s">
        <v>52</v>
      </c>
      <c r="B17" s="22" t="s">
        <v>53</v>
      </c>
    </row>
    <row r="19" spans="1:2" x14ac:dyDescent="0.3">
      <c r="A19" t="s">
        <v>54</v>
      </c>
      <c r="B19" s="22" t="s">
        <v>55</v>
      </c>
    </row>
    <row r="21" spans="1:2" x14ac:dyDescent="0.3">
      <c r="A21" t="s">
        <v>56</v>
      </c>
      <c r="B21" s="22" t="s">
        <v>57</v>
      </c>
    </row>
    <row r="23" spans="1:2" x14ac:dyDescent="0.3">
      <c r="A23" t="s">
        <v>58</v>
      </c>
      <c r="B23" s="22" t="s">
        <v>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Vendas</vt:lpstr>
      <vt:lpstr>Metas</vt:lpstr>
      <vt:lpstr>Análises</vt:lpstr>
      <vt:lpstr>Dashboard</vt:lpstr>
      <vt:lpstr>Sobre</vt:lpstr>
      <vt:lpstr>Dashboard!Area_de_impressao</vt:lpstr>
      <vt:lpstr>ListaPeríodos</vt:lpstr>
      <vt:lpstr>tbMetas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siqueira</dc:creator>
  <cp:lastModifiedBy>caio siqueira</cp:lastModifiedBy>
  <cp:lastPrinted>2026-10-17T23:54:30Z</cp:lastPrinted>
  <dcterms:created xsi:type="dcterms:W3CDTF">2026-10-17T21:37:41Z</dcterms:created>
  <dcterms:modified xsi:type="dcterms:W3CDTF">2026-10-17T23:55:27Z</dcterms:modified>
</cp:coreProperties>
</file>